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GeorgeC\Downloads\"/>
    </mc:Choice>
  </mc:AlternateContent>
  <xr:revisionPtr revIDLastSave="0" documentId="13_ncr:1_{7E573860-6B44-47EA-B42F-AD3A23EDF9CB}" xr6:coauthVersionLast="47" xr6:coauthVersionMax="47" xr10:uidLastSave="{00000000-0000-0000-0000-000000000000}"/>
  <bookViews>
    <workbookView xWindow="32070" yWindow="5220" windowWidth="15420" windowHeight="16545" xr2:uid="{00000000-000D-0000-FFFF-FFFF00000000}"/>
  </bookViews>
  <sheets>
    <sheet name="MSA Deductions Summary Q1 2026" sheetId="1" r:id="rId1"/>
    <sheet name="Sheet1" sheetId="2" r:id="rId2"/>
  </sheets>
  <definedNames>
    <definedName name="Slicer_Description">#N/A</definedName>
    <definedName name="Slicer_Member">#N/A</definedName>
  </definedNames>
  <calcPr calcId="0"/>
  <pivotCaches>
    <pivotCache cacheId="0" r:id="rId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<sst xmlns="http://schemas.openxmlformats.org/spreadsheetml/2006/main" count="83" uniqueCount="23">
  <si>
    <t>Date</t>
  </si>
  <si>
    <t>Member</t>
  </si>
  <si>
    <t>Provider</t>
  </si>
  <si>
    <t>Description</t>
  </si>
  <si>
    <t>George R (Snr)</t>
  </si>
  <si>
    <t>Barnard Vd Merve Theron</t>
  </si>
  <si>
    <t>GP Consultation</t>
  </si>
  <si>
    <t>George H (Jnr)</t>
  </si>
  <si>
    <t>Loock C P</t>
  </si>
  <si>
    <t>Braces / Dentistry</t>
  </si>
  <si>
    <t>Panorama Pharmacy</t>
  </si>
  <si>
    <t>Medication</t>
  </si>
  <si>
    <t>Nina</t>
  </si>
  <si>
    <t>Visser Y</t>
  </si>
  <si>
    <t>Paediatrician</t>
  </si>
  <si>
    <t>Cornelia</t>
  </si>
  <si>
    <t>Drs Dietrich B E &amp; Ptns</t>
  </si>
  <si>
    <t>Pathology</t>
  </si>
  <si>
    <t>Row Labels</t>
  </si>
  <si>
    <t>Grand Total</t>
  </si>
  <si>
    <t>Amount</t>
  </si>
  <si>
    <t>Sum of Amount</t>
  </si>
  <si>
    <t>ADHD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</si>
</sst>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C09]dd\ mmmm\ yyyy;@"/>
    <numFmt numFmtId="165" formatCode="&quot;R&quot;#,##0.00"/>
  </numFmts>
  <fonts count="3" x14ac:knownFonts="1">
    <font>
      <sz val="10"/>
      <color rgb="FF000000"/>
      <name val="Arial"/>
      <scheme val="minor"/>
    </font>
    <font>
      <sz val="10"/>
      <color theme="1"/>
      <name val="Arial"/>
      <scheme val="minor"/>
    </font>
    <font>
      <sz val="10"/>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applyFont="1" applyAlignment="1"/>
    <xf numFmtId="0" fontId="1" fillId="0" borderId="0" xfId="0" applyFont="1" applyAlignment="1"/>
    <xf numFmtId="164" fontId="1" fillId="0" borderId="0" xfId="0" applyNumberFormat="1" applyFont="1" applyAlignment="1"/>
    <xf numFmtId="0" fontId="2"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65" fontId="1" fillId="0" borderId="0" xfId="0" applyNumberFormat="1" applyFont="1" applyAlignment="1"/>
    <xf numFmtId="0" fontId="0" fillId="0" borderId="0" xfId="0" applyFont="1" applyAlignment="1">
      <alignment horizontal="left" indent="1"/>
    </xf>
  </cellXfs>
  <cellStyles count="1">
    <cellStyle name="Normal" xfId="0" builtinId="0"/>
  </cellStyles>
  <dxfs count="7">
    <dxf>
      <font>
        <b val="0"/>
        <i val="0"/>
        <strike val="0"/>
        <condense val="0"/>
        <extend val="0"/>
        <outline val="0"/>
        <shadow val="0"/>
        <u val="none"/>
        <vertAlign val="baseline"/>
        <sz val="10"/>
        <color theme="1"/>
        <name val="Arial"/>
        <scheme val="minor"/>
      </font>
      <numFmt numFmtId="165" formatCode="&quot;R&quot;#,##0.00"/>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1C09]dd\ mmmm\ yyyy;@"/>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0"/>
        <name val="Arial"/>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[MSA Deductions Summary_ Q1 2026.xlsx]Sheet1!PivotTable1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D9-4D6E-B4C4-3E702312FA1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D9-4D6E-B4C4-3E702312FA1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3D9-4D6E-B4C4-3E702312FA1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3D9-4D6E-B4C4-3E702312FA1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Sheet1!$A$4:$A$8</c:f>
              <c:strCache>
                <c:ptCount val="4"/>
                <c:pt idx="0">
                  <c:v>Cornelia</c:v>
                </c:pt>
                <c:pt idx="1">
                  <c:v>George H (Jnr)</c:v>
                </c:pt>
                <c:pt idx="2">
                  <c:v>George R (Snr)</c:v>
                </c:pt>
                <c:pt idx="3">
                  <c:v>Nina</c:v>
                </c:pt>
              </c:strCache>
            </c:strRef>
          </c:cat>
          <c:val>
            <c:numRef>
              <c:f>Sheet1!$B$4:$B$8</c:f>
              <c:numCache>
                <c:formatCode>General</c:formatCode>
                <c:ptCount val="4"/>
                <c:pt idx="0">
                  <c:v>2903.69</c:v>
                </c:pt>
                <c:pt idx="1">
                  <c:v>5509.46</c:v>
                </c:pt>
                <c:pt idx="2">
                  <c:v>1494.93</c:v>
                </c:pt>
                <c:pt idx="3">
                  <c:v>2479.8500000000004</c:v>
                </c:pt>
              </c:numCache>
            </c:numRef>
          </c:val>
          <c:extLst>
            <c:ext xmlns:c16="http://schemas.microsoft.com/office/drawing/2014/chart" uri="{C3380CC4-5D6E-409C-BE32-E72D297353CC}">
              <c16:uniqueId val="{00000008-33D9-4D6E-B4C4-3E702312FA1F}"/>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3</xdr:col>
      <xdr:colOff>142875</xdr:colOff>
      <xdr:row>0</xdr:row>
      <xdr:rowOff>171449</xdr:rowOff>
    </xdr:from>
    <xdr:to>
      <xdr:col>4</xdr:col>
      <xdr:colOff>342900</xdr:colOff>
      <xdr:row>0</xdr:row>
      <xdr:rowOff>1609724</xdr:rowOff>
    </xdr:to>
    <mc:AlternateContent xmlns:mc="http://schemas.openxmlformats.org/markup-compatibility/2006" xmlns:sle15="http://schemas.microsoft.com/office/drawing/2012/slicer">
      <mc:Choice Requires="sle15">
        <xdr:graphicFrame macro="">
          <xdr:nvGraphicFramePr>
            <xdr:cNvPr id="2" name="Member">
              <a:extLst>
                <a:ext uri="{FF2B5EF4-FFF2-40B4-BE49-F238E27FC236}">
                  <a16:creationId xmlns:a16="http://schemas.microsoft.com/office/drawing/2014/main" id="{215C4E10-950B-4796-B0CD-691A453399DB}"/>
                </a:ext>
              </a:extLst>
            </xdr:cNvPr>
            <xdr:cNvGraphicFramePr/>
          </xdr:nvGraphicFramePr>
          <xdr:xfrm>
            <a:off x="0" y="0"/>
            <a:ext cx="0" cy="0"/>
          </xdr:xfrm>
          <a:graphic>
            <a:graphicData uri="http://schemas.microsoft.com/office/drawing/2010/slicer">
              <sle:slicer xmlns:sle="http://schemas.microsoft.com/office/drawing/2010/slicer" name="Member"/>
            </a:graphicData>
          </a:graphic>
        </xdr:graphicFrame>
      </mc:Choice>
      <mc:Fallback xmlns="">
        <xdr:sp macro="" textlink="">
          <xdr:nvSpPr>
            <xdr:cNvPr id="0" name=""/>
            <xdr:cNvSpPr>
              <a:spLocks noTextEdit="1"/>
            </xdr:cNvSpPr>
          </xdr:nvSpPr>
          <xdr:spPr>
            <a:xfrm>
              <a:off x="3571875" y="171449"/>
              <a:ext cx="1276350" cy="1438275"/>
            </a:xfrm>
            <a:prstGeom prst="rect">
              <a:avLst/>
            </a:prstGeom>
            <a:solidFill>
              <a:prstClr val="white"/>
            </a:solidFill>
            <a:ln w="1">
              <a:solidFill>
                <a:prstClr val="green"/>
              </a:solidFill>
            </a:ln>
          </xdr:spPr>
          <xdr:txBody>
            <a:bodyPr vertOverflow="clip" horzOverflow="clip"/>
            <a:lstStyle/>
            <a:p>
              <a:r>
                <a:rPr lang="en-Z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438150</xdr:colOff>
      <xdr:row>0</xdr:row>
      <xdr:rowOff>171448</xdr:rowOff>
    </xdr:from>
    <xdr:to>
      <xdr:col>6</xdr:col>
      <xdr:colOff>742950</xdr:colOff>
      <xdr:row>0</xdr:row>
      <xdr:rowOff>2037521</xdr:rowOff>
    </xdr:to>
    <mc:AlternateContent xmlns:mc="http://schemas.openxmlformats.org/markup-compatibility/2006" xmlns:sle15="http://schemas.microsoft.com/office/drawing/2012/slicer">
      <mc:Choice Requires="sle15">
        <xdr:graphicFrame macro="">
          <xdr:nvGraphicFramePr>
            <xdr:cNvPr id="3" name="Description">
              <a:extLst>
                <a:ext uri="{FF2B5EF4-FFF2-40B4-BE49-F238E27FC236}">
                  <a16:creationId xmlns:a16="http://schemas.microsoft.com/office/drawing/2014/main" id="{82DBFBBE-AA90-F6F6-CB3D-F709C83C564A}"/>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4943475" y="171449"/>
              <a:ext cx="1828800" cy="1628776"/>
            </a:xfrm>
            <a:prstGeom prst="rect">
              <a:avLst/>
            </a:prstGeom>
            <a:solidFill>
              <a:prstClr val="white"/>
            </a:solidFill>
            <a:ln w="1">
              <a:solidFill>
                <a:prstClr val="green"/>
              </a:solidFill>
            </a:ln>
          </xdr:spPr>
          <xdr:txBody>
            <a:bodyPr vertOverflow="clip" horzOverflow="clip"/>
            <a:lstStyle/>
            <a:p>
              <a:r>
                <a:rPr lang="en-Z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295276</xdr:colOff>
      <xdr:row>0</xdr:row>
      <xdr:rowOff>76199</xdr:rowOff>
    </xdr:from>
    <xdr:to>
      <xdr:col>2</xdr:col>
      <xdr:colOff>1352550</xdr:colOff>
      <xdr:row>0</xdr:row>
      <xdr:rowOff>2667000</xdr:rowOff>
    </xdr:to>
    <xdr:graphicFrame macro="">
      <xdr:nvGraphicFramePr>
        <xdr:cNvPr id="5" name="Chart 4">
          <a:extLst>
            <a:ext uri="{FF2B5EF4-FFF2-40B4-BE49-F238E27FC236}">
              <a16:creationId xmlns:a16="http://schemas.microsoft.com/office/drawing/2014/main" id="{928AAC57-7D1D-45DE-9066-369BB033F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rnelia Conradie" refreshedDate="46118.538799189817" createdVersion="8" refreshedVersion="8" minRefreshableVersion="3" recordCount="18" xr:uid="{0088F490-A9FE-44ED-9FCE-384D346A7CC5}">
  <cacheSource type="worksheet">
    <worksheetSource name="Table1"/>
  </cacheSource>
  <cacheFields count="5">
    <cacheField name="Date" numFmtId="164">
      <sharedItems containsSemiMixedTypes="0" containsNonDate="0" containsDate="1" containsString="0" minDate="2026-01-02T00:00:00" maxDate="2026-04-01T00:00:00"/>
    </cacheField>
    <cacheField name="Member" numFmtId="0">
      <sharedItems count="4">
        <s v="George R (Snr)"/>
        <s v="George H (Jnr)"/>
        <s v="Nina"/>
        <s v="Cornelia"/>
      </sharedItems>
    </cacheField>
    <cacheField name="Provider" numFmtId="0">
      <sharedItems count="5">
        <s v="Barnard Vd Merve Theron"/>
        <s v="Loock C P"/>
        <s v="Panorama Pharmacy"/>
        <s v="Visser Y"/>
        <s v="Drs Dietrich B E &amp; Ptns"/>
      </sharedItems>
    </cacheField>
    <cacheField name="Description" numFmtId="0">
      <sharedItems/>
    </cacheField>
    <cacheField name="Amount" numFmtId="165">
      <sharedItems containsSemiMixedTypes="0" containsString="0" containsNumber="1" minValue="135" maxValue="1151.10999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d v="2026-01-02T00:00:00"/>
    <x v="0"/>
    <x v="0"/>
    <s v="GP Consultation"/>
    <n v="672.12"/>
  </r>
  <r>
    <d v="2026-01-13T00:00:00"/>
    <x v="1"/>
    <x v="1"/>
    <s v="Braces / Dentistry"/>
    <n v="1151.1099999999999"/>
  </r>
  <r>
    <d v="2026-02-05T00:00:00"/>
    <x v="1"/>
    <x v="2"/>
    <s v="Medication"/>
    <n v="953.95"/>
  </r>
  <r>
    <d v="2026-02-05T00:00:00"/>
    <x v="2"/>
    <x v="2"/>
    <s v="Medication"/>
    <n v="953.95"/>
  </r>
  <r>
    <d v="2026-02-10T00:00:00"/>
    <x v="1"/>
    <x v="1"/>
    <s v="Braces / Dentistry"/>
    <n v="1151.1099999999999"/>
  </r>
  <r>
    <d v="2026-02-11T00:00:00"/>
    <x v="1"/>
    <x v="3"/>
    <s v="Paediatrician"/>
    <n v="135"/>
  </r>
  <r>
    <d v="2026-02-11T00:00:00"/>
    <x v="2"/>
    <x v="3"/>
    <s v="Paediatrician"/>
    <n v="135"/>
  </r>
  <r>
    <d v="2026-02-16T00:00:00"/>
    <x v="3"/>
    <x v="4"/>
    <s v="Pathology"/>
    <n v="679.1"/>
  </r>
  <r>
    <d v="2026-02-16T00:00:00"/>
    <x v="3"/>
    <x v="0"/>
    <s v="GP Consultation"/>
    <n v="620.29999999999995"/>
  </r>
  <r>
    <d v="2026-02-16T00:00:00"/>
    <x v="0"/>
    <x v="0"/>
    <s v="GP Consultation"/>
    <n v="339.06"/>
  </r>
  <r>
    <d v="2026-03-09T00:00:00"/>
    <x v="1"/>
    <x v="2"/>
    <s v="Medication"/>
    <n v="967.18"/>
  </r>
  <r>
    <d v="2026-03-09T00:00:00"/>
    <x v="2"/>
    <x v="2"/>
    <s v="Medication"/>
    <n v="967.18"/>
  </r>
  <r>
    <d v="2026-03-10T00:00:00"/>
    <x v="1"/>
    <x v="1"/>
    <s v="Braces / Dentistry"/>
    <n v="1151.1099999999999"/>
  </r>
  <r>
    <d v="2026-03-11T00:00:00"/>
    <x v="0"/>
    <x v="0"/>
    <s v="GP Consultation"/>
    <n v="483.75"/>
  </r>
  <r>
    <d v="2026-03-31T00:00:00"/>
    <x v="3"/>
    <x v="0"/>
    <s v="GP Consultation"/>
    <n v="620.29999999999995"/>
  </r>
  <r>
    <d v="2026-03-31T00:00:00"/>
    <x v="3"/>
    <x v="2"/>
    <s v="Medication"/>
    <n v="751.85"/>
  </r>
  <r>
    <d v="2026-03-31T00:00:00"/>
    <x v="3"/>
    <x v="2"/>
    <s v="Medication"/>
    <n v="232.14"/>
  </r>
  <r>
    <d v="2026-03-31T00:00:00"/>
    <x v="2"/>
    <x v="2"/>
    <s v="Medication"/>
    <n v="423.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AB29D9-DEAD-4090-AB26-A30C8CAD07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5">
    <pivotField numFmtId="164" showAll="0"/>
    <pivotField axis="axisRow" showAll="0">
      <items count="5">
        <item x="3"/>
        <item x="1"/>
        <item x="0"/>
        <item x="2"/>
        <item t="default"/>
      </items>
    </pivotField>
    <pivotField showAll="0"/>
    <pivotField showAll="0"/>
    <pivotField dataField="1" numFmtId="165" showAll="0"/>
  </pivotFields>
  <rowFields count="1">
    <field x="1"/>
  </rowFields>
  <rowItems count="5">
    <i>
      <x/>
    </i>
    <i>
      <x v="1"/>
    </i>
    <i>
      <x v="2"/>
    </i>
    <i>
      <x v="3"/>
    </i>
    <i t="grand">
      <x/>
    </i>
  </rowItems>
  <colItems count="1">
    <i/>
  </colItems>
  <dataFields count="1">
    <dataField name="Sum of Amount" fld="4" baseField="0" baseItem="0"/>
  </dataFields>
  <chartFormats count="11">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8055CD-63F5-494F-842F-9924BF724C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8" firstHeaderRow="1" firstDataRow="1" firstDataCol="1"/>
  <pivotFields count="5">
    <pivotField numFmtId="164" showAll="0"/>
    <pivotField axis="axisRow" showAll="0">
      <items count="5">
        <item x="3"/>
        <item x="1"/>
        <item x="0"/>
        <item x="2"/>
        <item t="default"/>
      </items>
    </pivotField>
    <pivotField axis="axisRow" showAll="0">
      <items count="6">
        <item x="0"/>
        <item x="4"/>
        <item x="1"/>
        <item x="2"/>
        <item x="3"/>
        <item t="default"/>
      </items>
    </pivotField>
    <pivotField showAll="0"/>
    <pivotField dataField="1" numFmtId="165" showAll="0"/>
  </pivotFields>
  <rowFields count="2">
    <field x="2"/>
    <field x="1"/>
  </rowFields>
  <rowItems count="15">
    <i>
      <x/>
    </i>
    <i r="1">
      <x/>
    </i>
    <i r="1">
      <x v="2"/>
    </i>
    <i>
      <x v="1"/>
    </i>
    <i r="1">
      <x/>
    </i>
    <i>
      <x v="2"/>
    </i>
    <i r="1">
      <x v="1"/>
    </i>
    <i>
      <x v="3"/>
    </i>
    <i r="1">
      <x/>
    </i>
    <i r="1">
      <x v="1"/>
    </i>
    <i r="1">
      <x v="3"/>
    </i>
    <i>
      <x v="4"/>
    </i>
    <i r="1">
      <x v="1"/>
    </i>
    <i r="1">
      <x v="3"/>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 xr10:uid="{4EC9C4E4-7FAB-4ADE-89A1-8AF2F236B4DB}" sourceName="Member">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F3529815-0904-4BC6-8F40-B654CCFA33D4}" sourceName="Description">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 xr10:uid="{FC2E0D1D-49BA-4693-B00A-987F1D702C8C}" cache="Slicer_Member" caption="Member" style="SlicerStyleLight5" rowHeight="225425"/>
  <slicer name="Description" xr10:uid="{844A8C7C-4450-4A4A-AEE4-3A37B102730B}" cache="Slicer_Description" caption="Description" style="SlicerStyleLight4"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676AB6-57C2-416F-806F-3C271D9907E4}" name="Table1" displayName="Table1" ref="A2:E20" totalsRowShown="0" headerRowDxfId="6" dataDxfId="5">
  <autoFilter ref="A2:E20" xr:uid="{48676AB6-57C2-416F-806F-3C271D9907E4}"/>
  <tableColumns count="5">
    <tableColumn id="1" xr3:uid="{6267E572-2B76-4AB1-BFC6-CBFDBBE88EAB}" name="Date" dataDxfId="4"/>
    <tableColumn id="2" xr3:uid="{930646C6-DF05-4AEC-9501-2EFDD5CE4FE8}" name="Member" dataDxfId="3"/>
    <tableColumn id="3" xr3:uid="{36BC5A89-A9F6-4AC5-B97A-1FB30B43D450}" name="Provider" dataDxfId="2"/>
    <tableColumn id="4" xr3:uid="{17E41579-C68A-475E-B355-DB63470F6733}" name="Description" dataDxfId="1"/>
    <tableColumn id="5" xr3:uid="{D7C69B04-841C-4A5D-A9B5-863A3647B159}" name="Amoun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0"/>
  <sheetViews>
    <sheetView tabSelected="1" zoomScale="115" zoomScaleNormal="115" workbookViewId="0">
      <selection activeCell="F6" sqref="F6"/>
    </sheetView>
  </sheetViews>
  <sheetFormatPr defaultColWidth="12.5703125" defaultRowHeight="15.75" customHeight="1" x14ac:dyDescent="0.2"/>
  <cols>
    <col min="1" max="1" width="15.5703125" bestFit="1" customWidth="1"/>
    <col min="2" max="2" width="13.5703125" bestFit="1" customWidth="1"/>
    <col min="3" max="3" width="22.28515625" bestFit="1" customWidth="1"/>
    <col min="4" max="4" width="16.140625" bestFit="1" customWidth="1"/>
    <col min="5" max="5" width="10.28515625" bestFit="1" customWidth="1"/>
  </cols>
  <sheetData>
    <row r="1" spans="1:5" ht="218.25" customHeight="1" x14ac:dyDescent="0.2"/>
    <row r="2" spans="1:5" s="3" customFormat="1" ht="12.75" x14ac:dyDescent="0.2">
      <c r="A2" s="3" t="s">
        <v>0</v>
      </c>
      <c r="B2" s="3" t="s">
        <v>1</v>
      </c>
      <c r="C2" s="3" t="s">
        <v>2</v>
      </c>
      <c r="D2" s="3" t="s">
        <v>3</v>
      </c>
      <c r="E2" s="3" t="s">
        <v>20</v>
      </c>
    </row>
    <row r="3" spans="1:5" ht="12.75" x14ac:dyDescent="0.2">
      <c r="A3" s="2">
        <v>46024</v>
      </c>
      <c r="B3" s="1" t="s">
        <v>4</v>
      </c>
      <c r="C3" s="1" t="s">
        <v>5</v>
      </c>
      <c r="D3" s="1" t="s">
        <v>6</v>
      </c>
      <c r="E3" s="7">
        <v>672.12</v>
      </c>
    </row>
    <row r="4" spans="1:5" ht="12.75" x14ac:dyDescent="0.2">
      <c r="A4" s="2">
        <v>46035</v>
      </c>
      <c r="B4" s="1" t="s">
        <v>7</v>
      </c>
      <c r="C4" s="1" t="s">
        <v>8</v>
      </c>
      <c r="D4" s="1" t="s">
        <v>9</v>
      </c>
      <c r="E4" s="7">
        <v>1151.1099999999999</v>
      </c>
    </row>
    <row r="5" spans="1:5" ht="12.75" x14ac:dyDescent="0.2">
      <c r="A5" s="2">
        <v>46058</v>
      </c>
      <c r="B5" s="1" t="s">
        <v>7</v>
      </c>
      <c r="C5" s="1" t="s">
        <v>10</v>
      </c>
      <c r="D5" s="1" t="s">
        <v>22</v>
      </c>
      <c r="E5" s="7">
        <v>953.95</v>
      </c>
    </row>
    <row r="6" spans="1:5" ht="12.75" x14ac:dyDescent="0.2">
      <c r="A6" s="2">
        <v>46058</v>
      </c>
      <c r="B6" s="1" t="s">
        <v>12</v>
      </c>
      <c r="C6" s="1" t="s">
        <v>10</v>
      </c>
      <c r="D6" s="1" t="s">
        <v>22</v>
      </c>
      <c r="E6" s="7">
        <v>953.95</v>
      </c>
    </row>
    <row r="7" spans="1:5" ht="12.75" x14ac:dyDescent="0.2">
      <c r="A7" s="2">
        <v>46063</v>
      </c>
      <c r="B7" s="1" t="s">
        <v>7</v>
      </c>
      <c r="C7" s="1" t="s">
        <v>8</v>
      </c>
      <c r="D7" s="1" t="s">
        <v>9</v>
      </c>
      <c r="E7" s="7">
        <v>1151.1099999999999</v>
      </c>
    </row>
    <row r="8" spans="1:5" ht="12.75" x14ac:dyDescent="0.2">
      <c r="A8" s="2">
        <v>46064</v>
      </c>
      <c r="B8" s="1" t="s">
        <v>7</v>
      </c>
      <c r="C8" s="1" t="s">
        <v>13</v>
      </c>
      <c r="D8" s="1" t="s">
        <v>14</v>
      </c>
      <c r="E8" s="7">
        <v>135</v>
      </c>
    </row>
    <row r="9" spans="1:5" ht="12.75" x14ac:dyDescent="0.2">
      <c r="A9" s="2">
        <v>46064</v>
      </c>
      <c r="B9" s="1" t="s">
        <v>12</v>
      </c>
      <c r="C9" s="1" t="s">
        <v>13</v>
      </c>
      <c r="D9" s="1" t="s">
        <v>14</v>
      </c>
      <c r="E9" s="7">
        <v>135</v>
      </c>
    </row>
    <row r="10" spans="1:5" ht="12.75" x14ac:dyDescent="0.2">
      <c r="A10" s="2">
        <v>46069</v>
      </c>
      <c r="B10" s="1" t="s">
        <v>15</v>
      </c>
      <c r="C10" s="1" t="s">
        <v>16</v>
      </c>
      <c r="D10" s="1" t="s">
        <v>17</v>
      </c>
      <c r="E10" s="7">
        <v>679.1</v>
      </c>
    </row>
    <row r="11" spans="1:5" ht="12.75" x14ac:dyDescent="0.2">
      <c r="A11" s="2">
        <v>46069</v>
      </c>
      <c r="B11" s="1" t="s">
        <v>15</v>
      </c>
      <c r="C11" s="1" t="s">
        <v>5</v>
      </c>
      <c r="D11" s="1" t="s">
        <v>6</v>
      </c>
      <c r="E11" s="7">
        <v>620.29999999999995</v>
      </c>
    </row>
    <row r="12" spans="1:5" ht="12.75" x14ac:dyDescent="0.2">
      <c r="A12" s="2">
        <v>46069</v>
      </c>
      <c r="B12" s="1" t="s">
        <v>4</v>
      </c>
      <c r="C12" s="1" t="s">
        <v>5</v>
      </c>
      <c r="D12" s="1" t="s">
        <v>6</v>
      </c>
      <c r="E12" s="7">
        <v>339.06</v>
      </c>
    </row>
    <row r="13" spans="1:5" ht="12.75" x14ac:dyDescent="0.2">
      <c r="A13" s="2">
        <v>46090</v>
      </c>
      <c r="B13" s="1" t="s">
        <v>7</v>
      </c>
      <c r="C13" s="1" t="s">
        <v>10</v>
      </c>
      <c r="D13" s="1" t="s">
        <v>22</v>
      </c>
      <c r="E13" s="7">
        <v>967.18</v>
      </c>
    </row>
    <row r="14" spans="1:5" ht="12.75" x14ac:dyDescent="0.2">
      <c r="A14" s="2">
        <v>46090</v>
      </c>
      <c r="B14" s="1" t="s">
        <v>12</v>
      </c>
      <c r="C14" s="1" t="s">
        <v>10</v>
      </c>
      <c r="D14" s="1" t="s">
        <v>22</v>
      </c>
      <c r="E14" s="7">
        <v>967.18</v>
      </c>
    </row>
    <row r="15" spans="1:5" ht="12.75" x14ac:dyDescent="0.2">
      <c r="A15" s="2">
        <v>46091</v>
      </c>
      <c r="B15" s="1" t="s">
        <v>7</v>
      </c>
      <c r="C15" s="1" t="s">
        <v>8</v>
      </c>
      <c r="D15" s="1" t="s">
        <v>9</v>
      </c>
      <c r="E15" s="7">
        <v>1151.1099999999999</v>
      </c>
    </row>
    <row r="16" spans="1:5" ht="12.75" x14ac:dyDescent="0.2">
      <c r="A16" s="2">
        <v>46092</v>
      </c>
      <c r="B16" s="1" t="s">
        <v>4</v>
      </c>
      <c r="C16" s="1" t="s">
        <v>5</v>
      </c>
      <c r="D16" s="1" t="s">
        <v>6</v>
      </c>
      <c r="E16" s="7">
        <v>483.75</v>
      </c>
    </row>
    <row r="17" spans="1:5" ht="12.75" x14ac:dyDescent="0.2">
      <c r="A17" s="2">
        <v>46112</v>
      </c>
      <c r="B17" s="1" t="s">
        <v>15</v>
      </c>
      <c r="C17" s="1" t="s">
        <v>5</v>
      </c>
      <c r="D17" s="1" t="s">
        <v>6</v>
      </c>
      <c r="E17" s="7">
        <v>620.29999999999995</v>
      </c>
    </row>
    <row r="18" spans="1:5" ht="12.75" x14ac:dyDescent="0.2">
      <c r="A18" s="2">
        <v>46112</v>
      </c>
      <c r="B18" s="1" t="s">
        <v>15</v>
      </c>
      <c r="C18" s="1" t="s">
        <v>10</v>
      </c>
      <c r="D18" s="1" t="s">
        <v>11</v>
      </c>
      <c r="E18" s="7">
        <v>751.85</v>
      </c>
    </row>
    <row r="19" spans="1:5" ht="12.75" x14ac:dyDescent="0.2">
      <c r="A19" s="2">
        <v>46112</v>
      </c>
      <c r="B19" s="1" t="s">
        <v>15</v>
      </c>
      <c r="C19" s="1" t="s">
        <v>10</v>
      </c>
      <c r="D19" s="1" t="s">
        <v>11</v>
      </c>
      <c r="E19" s="7">
        <v>232.14</v>
      </c>
    </row>
    <row r="20" spans="1:5" ht="12.75" x14ac:dyDescent="0.2">
      <c r="A20" s="2">
        <v>46112</v>
      </c>
      <c r="B20" s="1" t="s">
        <v>12</v>
      </c>
      <c r="C20" s="1" t="s">
        <v>10</v>
      </c>
      <c r="D20" s="1" t="s">
        <v>11</v>
      </c>
      <c r="E20" s="7">
        <v>423.72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25169-8A5B-470C-98C3-C48204441665}">
  <dimension ref="A3:F18"/>
  <sheetViews>
    <sheetView workbookViewId="0">
      <selection activeCell="A4" sqref="A4:B7"/>
    </sheetView>
  </sheetViews>
  <sheetFormatPr defaultRowHeight="12.75" x14ac:dyDescent="0.2"/>
  <cols>
    <col min="1" max="1" width="13.85546875" bestFit="1" customWidth="1"/>
    <col min="2" max="2" width="15.140625" bestFit="1" customWidth="1"/>
    <col min="5" max="5" width="26.85546875" bestFit="1" customWidth="1"/>
    <col min="6" max="6" width="15.140625" bestFit="1" customWidth="1"/>
  </cols>
  <sheetData>
    <row r="3" spans="1:6" x14ac:dyDescent="0.2">
      <c r="A3" s="4" t="s">
        <v>18</v>
      </c>
      <c r="B3" t="s">
        <v>21</v>
      </c>
      <c r="E3" s="4" t="s">
        <v>18</v>
      </c>
      <c r="F3" t="s">
        <v>21</v>
      </c>
    </row>
    <row r="4" spans="1:6" x14ac:dyDescent="0.2">
      <c r="A4" s="5" t="s">
        <v>15</v>
      </c>
      <c r="B4" s="6">
        <v>2903.69</v>
      </c>
      <c r="E4" s="5" t="s">
        <v>5</v>
      </c>
      <c r="F4" s="6">
        <v>2735.5299999999997</v>
      </c>
    </row>
    <row r="5" spans="1:6" x14ac:dyDescent="0.2">
      <c r="A5" s="5" t="s">
        <v>7</v>
      </c>
      <c r="B5" s="6">
        <v>5509.46</v>
      </c>
      <c r="E5" s="8" t="s">
        <v>15</v>
      </c>
      <c r="F5" s="6">
        <v>1240.5999999999999</v>
      </c>
    </row>
    <row r="6" spans="1:6" x14ac:dyDescent="0.2">
      <c r="A6" s="5" t="s">
        <v>4</v>
      </c>
      <c r="B6" s="6">
        <v>1494.93</v>
      </c>
      <c r="E6" s="8" t="s">
        <v>4</v>
      </c>
      <c r="F6" s="6">
        <v>1494.93</v>
      </c>
    </row>
    <row r="7" spans="1:6" x14ac:dyDescent="0.2">
      <c r="A7" s="5" t="s">
        <v>12</v>
      </c>
      <c r="B7" s="6">
        <v>2479.8500000000004</v>
      </c>
      <c r="E7" s="5" t="s">
        <v>16</v>
      </c>
      <c r="F7" s="6">
        <v>679.1</v>
      </c>
    </row>
    <row r="8" spans="1:6" x14ac:dyDescent="0.2">
      <c r="A8" s="5" t="s">
        <v>19</v>
      </c>
      <c r="B8" s="6">
        <v>12387.93</v>
      </c>
      <c r="E8" s="8" t="s">
        <v>15</v>
      </c>
      <c r="F8" s="6">
        <v>679.1</v>
      </c>
    </row>
    <row r="9" spans="1:6" x14ac:dyDescent="0.2">
      <c r="E9" s="5" t="s">
        <v>8</v>
      </c>
      <c r="F9" s="6">
        <v>3453.33</v>
      </c>
    </row>
    <row r="10" spans="1:6" x14ac:dyDescent="0.2">
      <c r="E10" s="8" t="s">
        <v>7</v>
      </c>
      <c r="F10" s="6">
        <v>3453.33</v>
      </c>
    </row>
    <row r="11" spans="1:6" x14ac:dyDescent="0.2">
      <c r="E11" s="5" t="s">
        <v>10</v>
      </c>
      <c r="F11" s="6">
        <v>5249.97</v>
      </c>
    </row>
    <row r="12" spans="1:6" x14ac:dyDescent="0.2">
      <c r="E12" s="8" t="s">
        <v>15</v>
      </c>
      <c r="F12" s="6">
        <v>983.99</v>
      </c>
    </row>
    <row r="13" spans="1:6" x14ac:dyDescent="0.2">
      <c r="E13" s="8" t="s">
        <v>7</v>
      </c>
      <c r="F13" s="6">
        <v>1921.13</v>
      </c>
    </row>
    <row r="14" spans="1:6" x14ac:dyDescent="0.2">
      <c r="E14" s="8" t="s">
        <v>12</v>
      </c>
      <c r="F14" s="6">
        <v>2344.8500000000004</v>
      </c>
    </row>
    <row r="15" spans="1:6" x14ac:dyDescent="0.2">
      <c r="E15" s="5" t="s">
        <v>13</v>
      </c>
      <c r="F15" s="6">
        <v>270</v>
      </c>
    </row>
    <row r="16" spans="1:6" x14ac:dyDescent="0.2">
      <c r="E16" s="8" t="s">
        <v>7</v>
      </c>
      <c r="F16" s="6">
        <v>135</v>
      </c>
    </row>
    <row r="17" spans="5:6" x14ac:dyDescent="0.2">
      <c r="E17" s="8" t="s">
        <v>12</v>
      </c>
      <c r="F17" s="6">
        <v>135</v>
      </c>
    </row>
    <row r="18" spans="5:6" x14ac:dyDescent="0.2">
      <c r="E18" s="5" t="s">
        <v>19</v>
      </c>
      <c r="F18" s="6">
        <v>12387.929999999998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MSA Deductions Summary Q1 2026</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George Conradie</cp:lastModifiedBy>
  <dcterms:modified xsi:type="dcterms:W3CDTF">2026-04-12T18:14:50Z</dcterms:modified>
</cp:coreProperties>
</file>